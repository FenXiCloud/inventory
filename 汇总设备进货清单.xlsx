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20" windowHeight="12255"/>
  </bookViews>
  <sheets>
    <sheet name="Sheet1" sheetId="1" r:id="rId1"/>
  </sheets>
  <definedNames>
    <definedName name="_xlnm._FilterDatabase" localSheetId="0" hidden="1">Sheet1!$C$3:$L$37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<sst xmlns="http://schemas.openxmlformats.org/spreadsheetml/2006/main" count="137" uniqueCount="46">
  <si>
    <t>汇总昊淋网络设备进货清单</t>
  </si>
  <si>
    <t>流水已对</t>
  </si>
  <si>
    <t>时间</t>
  </si>
  <si>
    <t>付款公司</t>
  </si>
  <si>
    <t>收款公司</t>
  </si>
  <si>
    <t>设备名称</t>
  </si>
  <si>
    <t>设备类别</t>
  </si>
  <si>
    <t>数量</t>
  </si>
  <si>
    <t>采购单价</t>
  </si>
  <si>
    <t>售价</t>
  </si>
  <si>
    <t>成本合计</t>
  </si>
  <si>
    <t>支付金额（流水金额）</t>
  </si>
  <si>
    <t>预计对外售价</t>
  </si>
  <si>
    <t>发票已对</t>
  </si>
  <si>
    <t>×</t>
  </si>
  <si>
    <t>三明沙县樟荣餐饮服务有限公司</t>
  </si>
  <si>
    <t>杭州金耀科技有限公司</t>
  </si>
  <si>
    <t>商米小闪</t>
  </si>
  <si>
    <t>支付盒子</t>
  </si>
  <si>
    <t>有发票</t>
  </si>
  <si>
    <t>商米d2</t>
  </si>
  <si>
    <t>收银机</t>
  </si>
  <si>
    <t>一套售价2600</t>
  </si>
  <si>
    <t>√</t>
  </si>
  <si>
    <t>杭州洁黎科技有限公司</t>
  </si>
  <si>
    <t>XP-N260L云</t>
  </si>
  <si>
    <t>打印机（后厨）</t>
  </si>
  <si>
    <t>成本1335左右</t>
  </si>
  <si>
    <t>福州嘉幸网络科技有限公司</t>
  </si>
  <si>
    <t>联迪Q8</t>
  </si>
  <si>
    <t>加上给李总的700</t>
  </si>
  <si>
    <t>成本2080</t>
  </si>
  <si>
    <t>吉林省九州数码科技有限公司</t>
  </si>
  <si>
    <t>芯烨XP-80Ts(U+网）</t>
  </si>
  <si>
    <t>打印机（前台）</t>
  </si>
  <si>
    <t>福建联迪商用设备有限公司</t>
  </si>
  <si>
    <t>XP-N260L云U+WIFI+网口</t>
  </si>
  <si>
    <t>打印机</t>
  </si>
  <si>
    <t>XP-80TS USB+网口</t>
  </si>
  <si>
    <t>杭州昊淋网络科技有限公司</t>
  </si>
  <si>
    <t>深圳市福田区贝思德电脑展销柜</t>
  </si>
  <si>
    <t>上海驰怡电子有限公司</t>
  </si>
  <si>
    <t>杭州樟荣餐饮管理有限公司</t>
  </si>
  <si>
    <t>利润:</t>
  </si>
  <si>
    <t>已收：</t>
  </si>
  <si>
    <t>待收：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</si>
</sst>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b/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58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58" fontId="0" fillId="0" borderId="2" xfId="0" applyNumberForma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58" fontId="0" fillId="0" borderId="3" xfId="0" applyNumberForma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58" fontId="0" fillId="0" borderId="4" xfId="0" applyNumberForma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0" fillId="0" borderId="3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left" vertical="center"/>
    </xf>
    <xf numFmtId="176" fontId="1" fillId="2" borderId="0" xfId="0" applyNumberFormat="1" applyFont="1" applyFill="1" applyAlignment="1">
      <alignment horizontal="right" vertical="center"/>
    </xf>
    <xf numFmtId="176" fontId="1" fillId="2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36"/>
  <sheetViews>
    <sheetView tabSelected="1" zoomScale="90" zoomScaleNormal="90" topLeftCell="A2" workbookViewId="0">
      <selection activeCell="C35" sqref="C35"/>
    </sheetView>
  </sheetViews>
  <sheetFormatPr defaultColWidth="9" defaultRowHeight="17" customHeight="1"/>
  <cols>
    <col min="1" max="2" width="12.0916666666667" style="2" customWidth="1"/>
    <col min="3" max="3" width="33.2" style="2" customWidth="1"/>
    <col min="4" max="4" width="32.1083333333333" style="2" customWidth="1"/>
    <col min="5" max="5" width="27.9083333333333" style="2" customWidth="1"/>
    <col min="6" max="6" width="17.775" style="2" customWidth="1"/>
    <col min="7" max="7" width="10.275" style="2" customWidth="1"/>
    <col min="8" max="8" width="14.5166666666667" style="3" customWidth="1"/>
    <col min="9" max="9" width="14.2166666666667" style="3" customWidth="1"/>
    <col min="10" max="10" width="18.6666666666667" style="3" customWidth="1"/>
    <col min="11" max="11" width="24.3083333333333" style="3" customWidth="1"/>
    <col min="12" max="12" width="20.9833333333333" style="3" customWidth="1"/>
    <col min="13" max="13" width="11.8916666666667" style="2" customWidth="1"/>
    <col min="14" max="15" width="9" style="2"/>
    <col min="16" max="16" width="19.75" style="2" customWidth="1"/>
    <col min="17" max="17" width="17.5583333333333" style="2" customWidth="1"/>
    <col min="18" max="16384" width="9" style="2"/>
  </cols>
  <sheetData>
    <row r="2" customHeight="1" spans="2:13">
      <c r="B2" s="4"/>
      <c r="C2" s="5" t="s">
        <v>0</v>
      </c>
      <c r="D2" s="5"/>
      <c r="E2" s="5"/>
      <c r="F2" s="5"/>
      <c r="G2" s="5"/>
      <c r="H2" s="6"/>
      <c r="I2" s="6"/>
      <c r="J2" s="6"/>
      <c r="K2" s="6"/>
      <c r="L2" s="6"/>
      <c r="M2" s="24"/>
    </row>
    <row r="3" customHeight="1" spans="1:13">
      <c r="A3" s="2" t="s">
        <v>1</v>
      </c>
      <c r="B3" s="4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24" t="s">
        <v>13</v>
      </c>
    </row>
    <row r="4" customHeight="1" spans="1:13">
      <c r="A4" s="9" t="s">
        <v>14</v>
      </c>
      <c r="B4" s="10">
        <v>46105</v>
      </c>
      <c r="C4" s="7" t="s">
        <v>15</v>
      </c>
      <c r="D4" s="7" t="s">
        <v>16</v>
      </c>
      <c r="E4" s="7" t="s">
        <v>17</v>
      </c>
      <c r="F4" s="7" t="s">
        <v>18</v>
      </c>
      <c r="G4" s="7">
        <v>20</v>
      </c>
      <c r="H4" s="8">
        <v>100</v>
      </c>
      <c r="I4" s="8">
        <v>110</v>
      </c>
      <c r="J4" s="8">
        <f t="shared" ref="J4:J32" si="0">G4*H4</f>
        <v>2000</v>
      </c>
      <c r="K4" s="25">
        <v>60000</v>
      </c>
      <c r="L4" s="8">
        <f>G4*I4</f>
        <v>2200</v>
      </c>
      <c r="M4" s="24" t="s">
        <v>19</v>
      </c>
    </row>
    <row r="5" customHeight="1" spans="1:13">
      <c r="A5" s="9"/>
      <c r="B5" s="11"/>
      <c r="C5" s="7" t="s">
        <v>15</v>
      </c>
      <c r="D5" s="7" t="s">
        <v>16</v>
      </c>
      <c r="E5" s="7" t="s">
        <v>20</v>
      </c>
      <c r="F5" s="7" t="s">
        <v>21</v>
      </c>
      <c r="G5" s="7">
        <v>20</v>
      </c>
      <c r="H5" s="8">
        <v>700</v>
      </c>
      <c r="I5" s="8">
        <v>1350</v>
      </c>
      <c r="J5" s="8">
        <f t="shared" si="0"/>
        <v>14000</v>
      </c>
      <c r="K5" s="26"/>
      <c r="L5" s="8">
        <f t="shared" ref="L5:L26" si="1">G5*I5</f>
        <v>27000</v>
      </c>
      <c r="M5" s="24"/>
    </row>
    <row r="6" customHeight="1" spans="1:13">
      <c r="A6" s="9"/>
      <c r="B6" s="11"/>
      <c r="C6" s="7" t="s">
        <v>15</v>
      </c>
      <c r="D6" s="7" t="s">
        <v>16</v>
      </c>
      <c r="E6" s="7" t="s">
        <v>17</v>
      </c>
      <c r="F6" s="7"/>
      <c r="G6" s="7">
        <v>100</v>
      </c>
      <c r="H6" s="8">
        <v>105</v>
      </c>
      <c r="I6" s="8">
        <v>110</v>
      </c>
      <c r="J6" s="8">
        <f t="shared" si="0"/>
        <v>10500</v>
      </c>
      <c r="K6" s="26"/>
      <c r="L6" s="8">
        <f t="shared" si="1"/>
        <v>11000</v>
      </c>
      <c r="M6" s="24"/>
    </row>
    <row r="7" customHeight="1" spans="1:13">
      <c r="A7" s="9"/>
      <c r="B7" s="11"/>
      <c r="C7" s="7" t="s">
        <v>15</v>
      </c>
      <c r="D7" s="7" t="s">
        <v>16</v>
      </c>
      <c r="E7" s="7" t="s">
        <v>20</v>
      </c>
      <c r="F7" s="7"/>
      <c r="G7" s="7">
        <v>47</v>
      </c>
      <c r="H7" s="8">
        <v>700</v>
      </c>
      <c r="I7" s="8">
        <v>1350</v>
      </c>
      <c r="J7" s="8">
        <f t="shared" si="0"/>
        <v>32900</v>
      </c>
      <c r="K7" s="26"/>
      <c r="L7" s="8">
        <f t="shared" si="1"/>
        <v>63450</v>
      </c>
      <c r="M7" s="24"/>
    </row>
    <row r="8" customHeight="1" spans="1:16">
      <c r="A8" s="9"/>
      <c r="B8" s="12"/>
      <c r="C8" s="7" t="s">
        <v>15</v>
      </c>
      <c r="D8" s="7" t="s">
        <v>16</v>
      </c>
      <c r="E8" s="7" t="s">
        <v>17</v>
      </c>
      <c r="F8" s="7"/>
      <c r="G8" s="7">
        <v>6</v>
      </c>
      <c r="H8" s="8">
        <v>100</v>
      </c>
      <c r="I8" s="8">
        <v>110</v>
      </c>
      <c r="J8" s="8">
        <f t="shared" si="0"/>
        <v>600</v>
      </c>
      <c r="K8" s="27"/>
      <c r="L8" s="8">
        <f t="shared" si="1"/>
        <v>660</v>
      </c>
      <c r="M8" s="24"/>
      <c r="P8" s="2" t="s">
        <v>22</v>
      </c>
    </row>
    <row r="9" s="1" customFormat="1" customHeight="1" spans="1:16">
      <c r="A9" s="1" t="s">
        <v>23</v>
      </c>
      <c r="B9" s="13">
        <v>46120</v>
      </c>
      <c r="C9" s="14" t="s">
        <v>15</v>
      </c>
      <c r="D9" s="14" t="s">
        <v>24</v>
      </c>
      <c r="E9" s="14" t="s">
        <v>25</v>
      </c>
      <c r="F9" s="14" t="s">
        <v>26</v>
      </c>
      <c r="G9" s="14">
        <v>50</v>
      </c>
      <c r="H9" s="15">
        <v>340</v>
      </c>
      <c r="I9" s="15">
        <v>450</v>
      </c>
      <c r="J9" s="15">
        <f t="shared" si="0"/>
        <v>17000</v>
      </c>
      <c r="K9" s="15">
        <v>17000</v>
      </c>
      <c r="L9" s="15">
        <f t="shared" si="1"/>
        <v>22500</v>
      </c>
      <c r="M9" s="28" t="s">
        <v>19</v>
      </c>
      <c r="P9" s="2" t="s">
        <v>27</v>
      </c>
    </row>
    <row r="10" s="1" customFormat="1" customHeight="1" spans="1:17">
      <c r="A10" s="1" t="s">
        <v>23</v>
      </c>
      <c r="B10" s="13">
        <v>46112</v>
      </c>
      <c r="C10" s="14" t="s">
        <v>15</v>
      </c>
      <c r="D10" s="14" t="s">
        <v>28</v>
      </c>
      <c r="E10" s="14" t="s">
        <v>29</v>
      </c>
      <c r="F10" s="14" t="s">
        <v>21</v>
      </c>
      <c r="G10" s="14">
        <v>50</v>
      </c>
      <c r="H10" s="15">
        <v>790</v>
      </c>
      <c r="I10" s="15">
        <v>1350</v>
      </c>
      <c r="J10" s="15">
        <f t="shared" si="0"/>
        <v>39500</v>
      </c>
      <c r="K10" s="15">
        <v>39500</v>
      </c>
      <c r="L10" s="15">
        <f t="shared" si="1"/>
        <v>67500</v>
      </c>
      <c r="M10" s="28" t="s">
        <v>19</v>
      </c>
      <c r="P10" s="2" t="s">
        <v>30</v>
      </c>
      <c r="Q10" s="2" t="s">
        <v>31</v>
      </c>
    </row>
    <row r="11" s="1" customFormat="1" customHeight="1" spans="1:17">
      <c r="A11" s="1" t="s">
        <v>23</v>
      </c>
      <c r="B11" s="13">
        <v>46104</v>
      </c>
      <c r="C11" s="14" t="s">
        <v>15</v>
      </c>
      <c r="D11" s="14" t="s">
        <v>32</v>
      </c>
      <c r="E11" s="14" t="s">
        <v>20</v>
      </c>
      <c r="F11" s="14"/>
      <c r="G11" s="14">
        <v>100</v>
      </c>
      <c r="H11" s="15">
        <v>750</v>
      </c>
      <c r="I11" s="15">
        <v>1350</v>
      </c>
      <c r="J11" s="15">
        <f t="shared" si="0"/>
        <v>75000</v>
      </c>
      <c r="K11" s="15">
        <v>75000</v>
      </c>
      <c r="L11" s="15">
        <f t="shared" si="1"/>
        <v>135000</v>
      </c>
      <c r="M11" s="28" t="s">
        <v>19</v>
      </c>
      <c r="P11" s="2"/>
      <c r="Q11" s="2"/>
    </row>
    <row r="12" s="1" customFormat="1" customHeight="1" spans="1:13">
      <c r="A12" s="1" t="s">
        <v>23</v>
      </c>
      <c r="B12" s="13">
        <v>46113</v>
      </c>
      <c r="C12" s="14" t="s">
        <v>15</v>
      </c>
      <c r="D12" s="14" t="s">
        <v>24</v>
      </c>
      <c r="E12" s="14" t="s">
        <v>25</v>
      </c>
      <c r="F12" s="14"/>
      <c r="G12" s="14">
        <v>400</v>
      </c>
      <c r="H12" s="15">
        <v>340</v>
      </c>
      <c r="I12" s="15">
        <v>450</v>
      </c>
      <c r="J12" s="15">
        <f t="shared" si="0"/>
        <v>136000</v>
      </c>
      <c r="K12" s="15">
        <v>136000</v>
      </c>
      <c r="L12" s="15">
        <f t="shared" si="1"/>
        <v>180000</v>
      </c>
      <c r="M12" s="28" t="s">
        <v>19</v>
      </c>
    </row>
    <row r="13" s="1" customFormat="1" customHeight="1" spans="1:13">
      <c r="A13" s="1" t="s">
        <v>23</v>
      </c>
      <c r="B13" s="13">
        <v>46104</v>
      </c>
      <c r="C13" s="14" t="s">
        <v>15</v>
      </c>
      <c r="D13" s="14" t="s">
        <v>24</v>
      </c>
      <c r="E13" s="14" t="s">
        <v>33</v>
      </c>
      <c r="F13" s="14" t="s">
        <v>34</v>
      </c>
      <c r="G13" s="14">
        <v>100</v>
      </c>
      <c r="H13" s="15">
        <v>100</v>
      </c>
      <c r="I13" s="15">
        <v>170</v>
      </c>
      <c r="J13" s="15">
        <f t="shared" si="0"/>
        <v>10000</v>
      </c>
      <c r="K13" s="29">
        <v>44000</v>
      </c>
      <c r="L13" s="15">
        <f t="shared" si="1"/>
        <v>17000</v>
      </c>
      <c r="M13" s="1" t="s">
        <v>19</v>
      </c>
    </row>
    <row r="14" s="1" customFormat="1" customHeight="1" spans="1:12">
      <c r="A14" s="1" t="s">
        <v>23</v>
      </c>
      <c r="B14" s="13">
        <v>46104</v>
      </c>
      <c r="C14" s="14" t="s">
        <v>15</v>
      </c>
      <c r="D14" s="14" t="s">
        <v>24</v>
      </c>
      <c r="E14" s="14" t="s">
        <v>25</v>
      </c>
      <c r="F14" s="14"/>
      <c r="G14" s="14">
        <v>100</v>
      </c>
      <c r="H14" s="15">
        <v>340</v>
      </c>
      <c r="I14" s="15">
        <v>450</v>
      </c>
      <c r="J14" s="15">
        <f t="shared" si="0"/>
        <v>34000</v>
      </c>
      <c r="K14" s="30"/>
      <c r="L14" s="15">
        <f t="shared" si="1"/>
        <v>45000</v>
      </c>
    </row>
    <row r="15" s="1" customFormat="1" customHeight="1" spans="1:13">
      <c r="A15" s="1" t="s">
        <v>23</v>
      </c>
      <c r="B15" s="13">
        <v>46155</v>
      </c>
      <c r="C15" s="14" t="s">
        <v>15</v>
      </c>
      <c r="D15" s="14" t="s">
        <v>35</v>
      </c>
      <c r="E15" s="14" t="s">
        <v>29</v>
      </c>
      <c r="F15" s="14"/>
      <c r="G15" s="14">
        <v>100</v>
      </c>
      <c r="H15" s="15">
        <v>780</v>
      </c>
      <c r="I15" s="15">
        <v>1280</v>
      </c>
      <c r="J15" s="15">
        <f t="shared" si="0"/>
        <v>78000</v>
      </c>
      <c r="K15" s="29">
        <v>154000</v>
      </c>
      <c r="L15" s="15">
        <f t="shared" si="1"/>
        <v>128000</v>
      </c>
      <c r="M15" s="31" t="s">
        <v>19</v>
      </c>
    </row>
    <row r="16" customHeight="1" spans="1:13">
      <c r="A16" s="9" t="s">
        <v>14</v>
      </c>
      <c r="B16" s="16">
        <v>46157</v>
      </c>
      <c r="C16" s="7" t="s">
        <v>15</v>
      </c>
      <c r="D16" s="7" t="s">
        <v>35</v>
      </c>
      <c r="E16" s="7" t="s">
        <v>29</v>
      </c>
      <c r="F16" s="7"/>
      <c r="G16" s="7">
        <v>100</v>
      </c>
      <c r="H16" s="8">
        <v>760</v>
      </c>
      <c r="I16" s="8">
        <v>1280</v>
      </c>
      <c r="J16" s="8">
        <f t="shared" si="0"/>
        <v>76000</v>
      </c>
      <c r="K16" s="30"/>
      <c r="L16" s="8">
        <f t="shared" si="1"/>
        <v>128000</v>
      </c>
      <c r="M16" s="31"/>
    </row>
    <row r="17" s="1" customFormat="1" customHeight="1" spans="1:13">
      <c r="A17" s="1" t="s">
        <v>23</v>
      </c>
      <c r="B17" s="13">
        <v>46136</v>
      </c>
      <c r="C17" s="14" t="s">
        <v>15</v>
      </c>
      <c r="D17" s="14" t="s">
        <v>24</v>
      </c>
      <c r="E17" s="14" t="s">
        <v>36</v>
      </c>
      <c r="F17" s="14" t="s">
        <v>37</v>
      </c>
      <c r="G17" s="14">
        <v>84</v>
      </c>
      <c r="H17" s="15">
        <v>340</v>
      </c>
      <c r="I17" s="15">
        <v>450</v>
      </c>
      <c r="J17" s="15">
        <f t="shared" si="0"/>
        <v>28560</v>
      </c>
      <c r="K17" s="15">
        <v>28560</v>
      </c>
      <c r="L17" s="15">
        <f t="shared" si="1"/>
        <v>37800</v>
      </c>
      <c r="M17" s="28" t="s">
        <v>19</v>
      </c>
    </row>
    <row r="18" s="1" customFormat="1" customHeight="1" spans="1:13">
      <c r="A18" s="1" t="s">
        <v>23</v>
      </c>
      <c r="B18" s="13">
        <v>46154</v>
      </c>
      <c r="C18" s="14" t="s">
        <v>15</v>
      </c>
      <c r="D18" s="14" t="s">
        <v>24</v>
      </c>
      <c r="E18" s="14" t="s">
        <v>18</v>
      </c>
      <c r="F18" s="14"/>
      <c r="G18" s="14">
        <v>48</v>
      </c>
      <c r="H18" s="15">
        <v>45</v>
      </c>
      <c r="I18" s="15">
        <v>100</v>
      </c>
      <c r="J18" s="15">
        <f t="shared" si="0"/>
        <v>2160</v>
      </c>
      <c r="K18" s="29">
        <v>70800</v>
      </c>
      <c r="L18" s="15">
        <f t="shared" si="1"/>
        <v>4800</v>
      </c>
      <c r="M18" s="28" t="s">
        <v>19</v>
      </c>
    </row>
    <row r="19" s="1" customFormat="1" customHeight="1" spans="1:13">
      <c r="A19" s="1" t="s">
        <v>23</v>
      </c>
      <c r="B19" s="13"/>
      <c r="C19" s="14"/>
      <c r="D19" s="14"/>
      <c r="E19" s="14" t="s">
        <v>38</v>
      </c>
      <c r="F19" s="14"/>
      <c r="G19" s="14">
        <v>156</v>
      </c>
      <c r="H19" s="15">
        <v>100</v>
      </c>
      <c r="I19" s="15">
        <v>170</v>
      </c>
      <c r="J19" s="15">
        <f t="shared" si="0"/>
        <v>15600</v>
      </c>
      <c r="K19" s="32"/>
      <c r="L19" s="15">
        <f t="shared" si="1"/>
        <v>26520</v>
      </c>
      <c r="M19" s="28"/>
    </row>
    <row r="20" s="1" customFormat="1" customHeight="1" spans="1:13">
      <c r="A20" s="1" t="s">
        <v>23</v>
      </c>
      <c r="B20" s="13"/>
      <c r="C20" s="14"/>
      <c r="D20" s="14"/>
      <c r="E20" s="14" t="s">
        <v>36</v>
      </c>
      <c r="F20" s="14"/>
      <c r="G20" s="14">
        <v>156</v>
      </c>
      <c r="H20" s="15">
        <v>340</v>
      </c>
      <c r="I20" s="15">
        <v>450</v>
      </c>
      <c r="J20" s="15">
        <f t="shared" si="0"/>
        <v>53040</v>
      </c>
      <c r="K20" s="30"/>
      <c r="L20" s="15">
        <f t="shared" si="1"/>
        <v>70200</v>
      </c>
      <c r="M20" s="28"/>
    </row>
    <row r="21" s="1" customFormat="1" customHeight="1" spans="2:13">
      <c r="B21" s="17">
        <v>46182</v>
      </c>
      <c r="C21" s="18" t="s">
        <v>15</v>
      </c>
      <c r="D21" s="14" t="s">
        <v>24</v>
      </c>
      <c r="E21" s="14" t="s">
        <v>36</v>
      </c>
      <c r="F21" s="14"/>
      <c r="G21" s="14">
        <v>60</v>
      </c>
      <c r="H21" s="15">
        <v>340</v>
      </c>
      <c r="I21" s="15">
        <v>450</v>
      </c>
      <c r="J21" s="15">
        <f t="shared" si="0"/>
        <v>20400</v>
      </c>
      <c r="K21" s="32">
        <v>57900</v>
      </c>
      <c r="L21" s="15">
        <f t="shared" ref="L21:L26" si="2">G21*I21</f>
        <v>27000</v>
      </c>
      <c r="M21" s="1" t="s">
        <v>19</v>
      </c>
    </row>
    <row r="22" s="1" customFormat="1" customHeight="1" spans="2:12">
      <c r="B22" s="19"/>
      <c r="C22" s="20"/>
      <c r="D22" s="14"/>
      <c r="E22" s="14" t="s">
        <v>38</v>
      </c>
      <c r="F22" s="14"/>
      <c r="G22" s="14">
        <v>36</v>
      </c>
      <c r="H22" s="15">
        <v>100</v>
      </c>
      <c r="I22" s="15">
        <v>170</v>
      </c>
      <c r="J22" s="15">
        <f t="shared" si="0"/>
        <v>3600</v>
      </c>
      <c r="K22" s="32"/>
      <c r="L22" s="15">
        <f t="shared" si="2"/>
        <v>6120</v>
      </c>
    </row>
    <row r="23" s="1" customFormat="1" customHeight="1" spans="2:12">
      <c r="B23" s="19"/>
      <c r="C23" s="20"/>
      <c r="D23" s="14"/>
      <c r="E23" s="14" t="s">
        <v>18</v>
      </c>
      <c r="F23" s="14"/>
      <c r="G23" s="14">
        <v>60</v>
      </c>
      <c r="H23" s="15">
        <v>90</v>
      </c>
      <c r="I23" s="15">
        <v>100</v>
      </c>
      <c r="J23" s="15">
        <f t="shared" si="0"/>
        <v>5400</v>
      </c>
      <c r="K23" s="32"/>
      <c r="L23" s="15">
        <f t="shared" si="2"/>
        <v>6000</v>
      </c>
    </row>
    <row r="24" s="1" customFormat="1" customHeight="1" spans="2:13">
      <c r="B24" s="17">
        <v>46203</v>
      </c>
      <c r="C24" s="18" t="s">
        <v>15</v>
      </c>
      <c r="D24" s="14" t="s">
        <v>24</v>
      </c>
      <c r="E24" s="14" t="s">
        <v>36</v>
      </c>
      <c r="F24" s="14"/>
      <c r="G24" s="14">
        <v>60</v>
      </c>
      <c r="H24" s="15">
        <v>340</v>
      </c>
      <c r="I24" s="15">
        <v>450</v>
      </c>
      <c r="J24" s="15">
        <f t="shared" si="0"/>
        <v>20400</v>
      </c>
      <c r="K24" s="32"/>
      <c r="L24" s="15">
        <f t="shared" si="2"/>
        <v>27000</v>
      </c>
      <c r="M24" s="1" t="s">
        <v>19</v>
      </c>
    </row>
    <row r="25" s="1" customFormat="1" customHeight="1" spans="2:12">
      <c r="B25" s="19"/>
      <c r="C25" s="20"/>
      <c r="D25" s="14"/>
      <c r="E25" s="14" t="s">
        <v>38</v>
      </c>
      <c r="F25" s="14"/>
      <c r="G25" s="14">
        <v>54</v>
      </c>
      <c r="H25" s="15">
        <v>100</v>
      </c>
      <c r="I25" s="15">
        <v>170</v>
      </c>
      <c r="J25" s="15">
        <f t="shared" si="0"/>
        <v>5400</v>
      </c>
      <c r="K25" s="32"/>
      <c r="L25" s="15">
        <f t="shared" si="2"/>
        <v>9180</v>
      </c>
    </row>
    <row r="26" s="1" customFormat="1" customHeight="1" spans="2:12">
      <c r="B26" s="21"/>
      <c r="C26" s="22"/>
      <c r="D26" s="14"/>
      <c r="E26" s="14" t="s">
        <v>18</v>
      </c>
      <c r="F26" s="14"/>
      <c r="G26" s="14">
        <v>60</v>
      </c>
      <c r="H26" s="15">
        <v>45</v>
      </c>
      <c r="I26" s="15">
        <v>100</v>
      </c>
      <c r="J26" s="15">
        <f t="shared" si="0"/>
        <v>2700</v>
      </c>
      <c r="K26" s="30"/>
      <c r="L26" s="15">
        <f t="shared" si="2"/>
        <v>6000</v>
      </c>
    </row>
    <row r="27" s="1" customFormat="1" customHeight="1" spans="1:13">
      <c r="A27" s="1" t="s">
        <v>23</v>
      </c>
      <c r="B27" s="13">
        <v>46093</v>
      </c>
      <c r="C27" s="14" t="s">
        <v>39</v>
      </c>
      <c r="D27" s="14" t="s">
        <v>40</v>
      </c>
      <c r="E27" s="14" t="s">
        <v>17</v>
      </c>
      <c r="F27" s="14"/>
      <c r="G27" s="14">
        <v>10</v>
      </c>
      <c r="H27" s="15">
        <v>105</v>
      </c>
      <c r="I27" s="15">
        <v>110</v>
      </c>
      <c r="J27" s="15">
        <f t="shared" si="0"/>
        <v>1050</v>
      </c>
      <c r="K27" s="15">
        <v>1050</v>
      </c>
      <c r="L27" s="15">
        <f t="shared" ref="L27:L32" si="3">G27*I27</f>
        <v>1100</v>
      </c>
      <c r="M27" s="28" t="s">
        <v>19</v>
      </c>
    </row>
    <row r="28" s="1" customFormat="1" customHeight="1" spans="1:13">
      <c r="A28" s="1" t="s">
        <v>23</v>
      </c>
      <c r="B28" s="13">
        <v>46093</v>
      </c>
      <c r="C28" s="14" t="s">
        <v>39</v>
      </c>
      <c r="D28" s="14" t="s">
        <v>24</v>
      </c>
      <c r="E28" s="14" t="s">
        <v>25</v>
      </c>
      <c r="F28" s="14"/>
      <c r="G28" s="14">
        <v>10</v>
      </c>
      <c r="H28" s="15">
        <v>100</v>
      </c>
      <c r="I28" s="15">
        <v>170</v>
      </c>
      <c r="J28" s="15">
        <f t="shared" si="0"/>
        <v>1000</v>
      </c>
      <c r="K28" s="29">
        <v>4500</v>
      </c>
      <c r="L28" s="15">
        <f t="shared" si="3"/>
        <v>1700</v>
      </c>
      <c r="M28" s="28" t="s">
        <v>19</v>
      </c>
    </row>
    <row r="29" s="1" customFormat="1" customHeight="1" spans="1:13">
      <c r="A29" s="1" t="s">
        <v>23</v>
      </c>
      <c r="B29" s="23"/>
      <c r="C29" s="14" t="s">
        <v>39</v>
      </c>
      <c r="D29" s="14" t="s">
        <v>24</v>
      </c>
      <c r="E29" s="14" t="s">
        <v>33</v>
      </c>
      <c r="F29" s="14"/>
      <c r="G29" s="14">
        <v>10</v>
      </c>
      <c r="H29" s="15">
        <v>350</v>
      </c>
      <c r="I29" s="15">
        <v>450</v>
      </c>
      <c r="J29" s="15">
        <f t="shared" si="0"/>
        <v>3500</v>
      </c>
      <c r="K29" s="30"/>
      <c r="L29" s="15">
        <f t="shared" si="3"/>
        <v>4500</v>
      </c>
      <c r="M29" s="28"/>
    </row>
    <row r="30" s="1" customFormat="1" customHeight="1" spans="1:13">
      <c r="A30" s="1" t="s">
        <v>23</v>
      </c>
      <c r="B30" s="13">
        <v>46093</v>
      </c>
      <c r="C30" s="14" t="s">
        <v>39</v>
      </c>
      <c r="D30" s="14" t="s">
        <v>24</v>
      </c>
      <c r="E30" s="14" t="s">
        <v>25</v>
      </c>
      <c r="F30" s="14"/>
      <c r="G30" s="14">
        <v>14</v>
      </c>
      <c r="H30" s="15">
        <v>350</v>
      </c>
      <c r="I30" s="15">
        <v>450</v>
      </c>
      <c r="J30" s="15">
        <f t="shared" si="0"/>
        <v>4900</v>
      </c>
      <c r="K30" s="15">
        <v>4900</v>
      </c>
      <c r="L30" s="15">
        <f t="shared" si="3"/>
        <v>6300</v>
      </c>
      <c r="M30" s="28" t="s">
        <v>19</v>
      </c>
    </row>
    <row r="31" s="1" customFormat="1" customHeight="1" spans="1:13">
      <c r="A31" s="1" t="s">
        <v>23</v>
      </c>
      <c r="B31" s="13">
        <v>46093</v>
      </c>
      <c r="C31" s="14" t="s">
        <v>39</v>
      </c>
      <c r="D31" s="14" t="s">
        <v>41</v>
      </c>
      <c r="E31" s="14" t="s">
        <v>29</v>
      </c>
      <c r="F31" s="14"/>
      <c r="G31" s="14">
        <v>10</v>
      </c>
      <c r="H31" s="15">
        <v>820</v>
      </c>
      <c r="I31" s="15">
        <v>1350</v>
      </c>
      <c r="J31" s="15">
        <f t="shared" si="0"/>
        <v>8200</v>
      </c>
      <c r="K31" s="15">
        <v>8200</v>
      </c>
      <c r="L31" s="15">
        <f t="shared" si="3"/>
        <v>13500</v>
      </c>
      <c r="M31" s="28" t="s">
        <v>19</v>
      </c>
    </row>
    <row r="32" customHeight="1" spans="1:13">
      <c r="A32" s="9" t="s">
        <v>14</v>
      </c>
      <c r="B32" s="16">
        <v>46087</v>
      </c>
      <c r="C32" s="7" t="s">
        <v>42</v>
      </c>
      <c r="D32" s="7" t="s">
        <v>35</v>
      </c>
      <c r="E32" s="7" t="s">
        <v>29</v>
      </c>
      <c r="F32" s="7"/>
      <c r="G32" s="7">
        <v>5</v>
      </c>
      <c r="H32" s="8">
        <v>830</v>
      </c>
      <c r="I32" s="8">
        <v>1350</v>
      </c>
      <c r="J32" s="8">
        <f t="shared" si="0"/>
        <v>4150</v>
      </c>
      <c r="K32" s="33">
        <v>4150</v>
      </c>
      <c r="L32" s="8">
        <f t="shared" si="3"/>
        <v>6750</v>
      </c>
      <c r="M32" s="24" t="s">
        <v>19</v>
      </c>
    </row>
    <row r="33" customHeight="1" spans="9:12">
      <c r="I33" s="3">
        <f>SUM(I4:I32)</f>
        <v>16300</v>
      </c>
      <c r="K33" s="3">
        <f>SUM(K4:K32)</f>
        <v>705560</v>
      </c>
      <c r="L33" s="3">
        <f>SUM(L4:L32)</f>
        <v>1081780</v>
      </c>
    </row>
    <row r="34" customHeight="1" spans="11:12">
      <c r="K34" s="34" t="s">
        <v>43</v>
      </c>
      <c r="L34" s="35">
        <f>L33-K33</f>
        <v>376220</v>
      </c>
    </row>
    <row r="35" customHeight="1" spans="11:12">
      <c r="K35" s="34" t="s">
        <v>44</v>
      </c>
      <c r="L35" s="35">
        <v>210860</v>
      </c>
    </row>
    <row r="36" customHeight="1" spans="11:12">
      <c r="K36" s="36" t="s">
        <v>45</v>
      </c>
      <c r="L36" s="37">
        <f>L34-L35</f>
        <v>165360</v>
      </c>
    </row>
  </sheetData>
  <autoFilter xmlns:etc="http://www.wps.cn/officeDocument/2017/etCustomData" ref="C3:L37" etc:filterBottomFollowUsedRange="0">
    <extLst/>
  </autoFilter>
  <mergeCells count="26">
    <mergeCell ref="C2:L2"/>
    <mergeCell ref="A4:A8"/>
    <mergeCell ref="B4:B8"/>
    <mergeCell ref="B18:B20"/>
    <mergeCell ref="B21:B23"/>
    <mergeCell ref="B24:B26"/>
    <mergeCell ref="B28:B29"/>
    <mergeCell ref="C18:C20"/>
    <mergeCell ref="C21:C23"/>
    <mergeCell ref="C24:C26"/>
    <mergeCell ref="D18:D20"/>
    <mergeCell ref="D21:D23"/>
    <mergeCell ref="D24:D26"/>
    <mergeCell ref="K4:K8"/>
    <mergeCell ref="K13:K14"/>
    <mergeCell ref="K15:K16"/>
    <mergeCell ref="K18:K20"/>
    <mergeCell ref="K21:K26"/>
    <mergeCell ref="K28:K29"/>
    <mergeCell ref="M4:M8"/>
    <mergeCell ref="M13:M14"/>
    <mergeCell ref="M15:M16"/>
    <mergeCell ref="M18:M20"/>
    <mergeCell ref="M21:M23"/>
    <mergeCell ref="M24:M26"/>
    <mergeCell ref="M28:M29"/>
  </mergeCells>
  <pageMargins left="0.25" right="0.25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小明</cp:lastModifiedBy>
  <dcterms:created xsi:type="dcterms:W3CDTF">2015-06-05T18:19:00Z</dcterms:created>
  <cp:lastPrinted>2026-04-09T09:12:00Z</cp:lastPrinted>
  <dcterms:modified xsi:type="dcterms:W3CDTF">2026-08-04T09:36:17Z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EB9541423A1C4B90BFAB767B545B822A_13</vt:lpwstr>
  </property>
  <property fmtid="{D5CDD505-2E9C-101B-9397-08002B2CF9AE}" pid="3" name="KSOProductBuildVer">
    <vt:lpwstr>2052-12.1.0.23125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